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36766196e7c065f/DOCUMENTOS/Documentos/Publicaciones_RIGOPETRODATA/Videos youtube/VIDEOS_PETROLERA/Yacimientos/EBM/"/>
    </mc:Choice>
  </mc:AlternateContent>
  <xr:revisionPtr revIDLastSave="72" documentId="13_ncr:1_{EB2F6DA7-5A32-493D-BEE5-1B53D7800781}" xr6:coauthVersionLast="47" xr6:coauthVersionMax="47" xr10:uidLastSave="{6886B274-F716-4257-A5AB-D4C19DC86CCC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solver_adj" localSheetId="0" hidden="1">'1'!$K$24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0" localSheetId="0" hidden="1">'1'!$K$24</definedName>
    <definedName name="solver_lhs1" localSheetId="0" hidden="1">'1'!$K$24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'1'!$M$22</definedName>
    <definedName name="solver_pre" localSheetId="0" hidden="1">0.000001</definedName>
    <definedName name="solver_rbv" localSheetId="0" hidden="1">1</definedName>
    <definedName name="solver_rel0" localSheetId="0" hidden="1">1</definedName>
    <definedName name="solver_rel1" localSheetId="0" hidden="1">1</definedName>
    <definedName name="solver_rhs0" localSheetId="0" hidden="1">1000000</definedName>
    <definedName name="solver_rhs1" localSheetId="0" hidden="1">1000000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" l="1"/>
  <c r="K10" i="1"/>
  <c r="K11" i="1"/>
  <c r="K12" i="1"/>
  <c r="K13" i="1"/>
  <c r="K14" i="1"/>
  <c r="K15" i="1"/>
  <c r="K16" i="1"/>
  <c r="K17" i="1"/>
  <c r="K18" i="1"/>
  <c r="K19" i="1"/>
  <c r="K20" i="1"/>
  <c r="K21" i="1"/>
  <c r="K9" i="1"/>
  <c r="J10" i="1"/>
  <c r="J11" i="1"/>
  <c r="J12" i="1"/>
  <c r="J13" i="1"/>
  <c r="J14" i="1"/>
  <c r="J15" i="1"/>
  <c r="J16" i="1"/>
  <c r="J17" i="1"/>
  <c r="J18" i="1"/>
  <c r="J19" i="1"/>
  <c r="J20" i="1"/>
  <c r="J21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9" i="1"/>
  <c r="G10" i="1"/>
  <c r="G11" i="1"/>
  <c r="G12" i="1"/>
  <c r="G13" i="1"/>
  <c r="G14" i="1"/>
  <c r="G15" i="1"/>
  <c r="G16" i="1"/>
  <c r="G17" i="1"/>
  <c r="G18" i="1"/>
  <c r="G19" i="1"/>
  <c r="G20" i="1"/>
  <c r="G21" i="1"/>
  <c r="G9" i="1"/>
</calcChain>
</file>

<file path=xl/sharedStrings.xml><?xml version="1.0" encoding="utf-8"?>
<sst xmlns="http://schemas.openxmlformats.org/spreadsheetml/2006/main" count="17" uniqueCount="17">
  <si>
    <t>Presión (psi)</t>
  </si>
  <si>
    <t>N. pozos</t>
  </si>
  <si>
    <t>Bo (RB/STB)</t>
  </si>
  <si>
    <t>Np (MB)</t>
  </si>
  <si>
    <t>Wp (MB)</t>
  </si>
  <si>
    <t>F (MRB)</t>
  </si>
  <si>
    <t>Sw</t>
  </si>
  <si>
    <t>Cf</t>
  </si>
  <si>
    <t>Cw</t>
  </si>
  <si>
    <t>Bw</t>
  </si>
  <si>
    <t>Eo (RB/STB)</t>
  </si>
  <si>
    <t>Dp (psi)</t>
  </si>
  <si>
    <t>Efw</t>
  </si>
  <si>
    <t>Eo + Efw</t>
  </si>
  <si>
    <t>N</t>
  </si>
  <si>
    <t>MMSTB</t>
  </si>
  <si>
    <t>MSTB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</si>
</sst>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F vs Eo+Efw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40389851268591426"/>
                  <c:y val="-3.09445173519976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'1'!$K$9:$K$21</c:f>
              <c:numCache>
                <c:formatCode>0.00000</c:formatCode>
                <c:ptCount val="13"/>
                <c:pt idx="0">
                  <c:v>0</c:v>
                </c:pt>
                <c:pt idx="1">
                  <c:v>2.501565247368201E-4</c:v>
                </c:pt>
                <c:pt idx="2">
                  <c:v>2.9028174452629379E-4</c:v>
                </c:pt>
                <c:pt idx="3">
                  <c:v>4.8056348905259859E-4</c:v>
                </c:pt>
                <c:pt idx="4">
                  <c:v>5.1065740389470379E-4</c:v>
                </c:pt>
                <c:pt idx="5">
                  <c:v>1.151408722631502E-3</c:v>
                </c:pt>
                <c:pt idx="6">
                  <c:v>2.2025043957895419E-3</c:v>
                </c:pt>
                <c:pt idx="7">
                  <c:v>3.1836939837894757E-3</c:v>
                </c:pt>
                <c:pt idx="8">
                  <c:v>4.305321841052567E-3</c:v>
                </c:pt>
                <c:pt idx="9">
                  <c:v>5.1774192725262298E-3</c:v>
                </c:pt>
                <c:pt idx="10">
                  <c:v>8.0601741078946531E-3</c:v>
                </c:pt>
                <c:pt idx="11">
                  <c:v>9.9128350284210798E-3</c:v>
                </c:pt>
                <c:pt idx="12">
                  <c:v>1.1785558558842023E-2</c:v>
                </c:pt>
              </c:numCache>
            </c:numRef>
          </c:xVal>
          <c:yVal>
            <c:numRef>
              <c:f>'1'!$G$9:$G$21</c:f>
              <c:numCache>
                <c:formatCode>General</c:formatCode>
                <c:ptCount val="13"/>
                <c:pt idx="0">
                  <c:v>0</c:v>
                </c:pt>
                <c:pt idx="1">
                  <c:v>26.838302400000003</c:v>
                </c:pt>
                <c:pt idx="2">
                  <c:v>45.5364</c:v>
                </c:pt>
                <c:pt idx="3">
                  <c:v>102.9489485</c:v>
                </c:pt>
                <c:pt idx="4">
                  <c:v>133.46918300000002</c:v>
                </c:pt>
                <c:pt idx="5">
                  <c:v>282.73622290000003</c:v>
                </c:pt>
                <c:pt idx="6">
                  <c:v>478.22641080000005</c:v>
                </c:pt>
                <c:pt idx="7">
                  <c:v>712.66391700000008</c:v>
                </c:pt>
                <c:pt idx="8">
                  <c:v>1105.6456648000001</c:v>
                </c:pt>
                <c:pt idx="9">
                  <c:v>1674.7238899999998</c:v>
                </c:pt>
                <c:pt idx="10">
                  <c:v>2229.8394049999997</c:v>
                </c:pt>
                <c:pt idx="11">
                  <c:v>2805.7333320000002</c:v>
                </c:pt>
                <c:pt idx="12">
                  <c:v>3399.7096099999999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A1-44FA-B81F-BFFCD8F20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212767"/>
        <c:axId val="1647226287"/>
      </c:scatterChart>
      <c:valAx>
        <c:axId val="168421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Eo + Efw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7226287"/>
        <c:crosses val="autoZero"/>
        <c:crossBetween val="midCat"/>
      </c:valAx>
      <c:valAx>
        <c:axId val="164722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421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0</xdr:row>
      <xdr:rowOff>0</xdr:rowOff>
    </xdr:from>
    <xdr:to>
      <xdr:col>8</xdr:col>
      <xdr:colOff>561975</xdr:colOff>
      <xdr:row>6</xdr:row>
      <xdr:rowOff>37072</xdr:rowOff>
    </xdr:to>
    <xdr:pic>
      <xdr:nvPicPr>
        <xdr:cNvPr id="5" name="Picture 6">
          <a:extLst>
            <a:ext uri="{FF2B5EF4-FFF2-40B4-BE49-F238E27FC236}">
              <a16:creationId xmlns:a16="http://schemas.microsoft.com/office/drawing/2014/main" id="{EFF0EF55-75A2-4ADE-A0AC-0A813421B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925" y="0"/>
          <a:ext cx="2333625" cy="1180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488672</xdr:colOff>
      <xdr:row>0</xdr:row>
      <xdr:rowOff>0</xdr:rowOff>
    </xdr:from>
    <xdr:to>
      <xdr:col>13</xdr:col>
      <xdr:colOff>37270</xdr:colOff>
      <xdr:row>2</xdr:row>
      <xdr:rowOff>95250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58499199-02CE-414B-B225-B61F5CAC4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6998" y="0"/>
          <a:ext cx="220731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430696</xdr:colOff>
      <xdr:row>7</xdr:row>
      <xdr:rowOff>77856</xdr:rowOff>
    </xdr:from>
    <xdr:to>
      <xdr:col>18</xdr:col>
      <xdr:colOff>347870</xdr:colOff>
      <xdr:row>20</xdr:row>
      <xdr:rowOff>154056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D10FAAF-2C5D-36FA-1196-5A46DB5E1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L25"/>
  <sheetViews>
    <sheetView tabSelected="1" zoomScale="115" zoomScaleNormal="115" workbookViewId="0">
      <selection activeCell="B8" sqref="B8:K21"/>
    </sheetView>
  </sheetViews>
  <sheetFormatPr baseColWidth="10" defaultColWidth="9.140625" defaultRowHeight="15" x14ac:dyDescent="0.25"/>
  <cols>
    <col min="2" max="2" width="13" customWidth="1"/>
    <col min="5" max="5" width="11.85546875" customWidth="1"/>
    <col min="8" max="8" width="9.85546875" customWidth="1"/>
    <col min="10" max="10" width="11" customWidth="1"/>
    <col min="12" max="12" width="10.42578125" customWidth="1"/>
    <col min="14" max="14" width="13.42578125" customWidth="1"/>
  </cols>
  <sheetData>
    <row r="2" spans="1:11" x14ac:dyDescent="0.25">
      <c r="A2" s="5" t="s">
        <v>6</v>
      </c>
      <c r="B2" s="1">
        <v>0.24</v>
      </c>
    </row>
    <row r="3" spans="1:11" x14ac:dyDescent="0.25">
      <c r="A3" s="5" t="s">
        <v>7</v>
      </c>
      <c r="B3" s="1">
        <v>4.95E-6</v>
      </c>
    </row>
    <row r="4" spans="1:11" x14ac:dyDescent="0.25">
      <c r="A4" s="5" t="s">
        <v>8</v>
      </c>
      <c r="B4" s="1">
        <v>3.6200000000000001E-6</v>
      </c>
    </row>
    <row r="5" spans="1:11" x14ac:dyDescent="0.25">
      <c r="A5" s="5" t="s">
        <v>9</v>
      </c>
      <c r="B5" s="1">
        <v>1</v>
      </c>
    </row>
    <row r="8" spans="1:11" ht="30" x14ac:dyDescent="0.25">
      <c r="B8" s="4" t="s">
        <v>0</v>
      </c>
      <c r="C8" s="4" t="s">
        <v>1</v>
      </c>
      <c r="D8" s="4" t="s">
        <v>2</v>
      </c>
      <c r="E8" s="4" t="s">
        <v>3</v>
      </c>
      <c r="F8" s="4" t="s">
        <v>4</v>
      </c>
      <c r="G8" s="4" t="s">
        <v>5</v>
      </c>
      <c r="H8" s="4" t="s">
        <v>10</v>
      </c>
      <c r="I8" s="4" t="s">
        <v>11</v>
      </c>
      <c r="J8" s="4" t="s">
        <v>12</v>
      </c>
      <c r="K8" s="4" t="s">
        <v>13</v>
      </c>
    </row>
    <row r="9" spans="1:11" x14ac:dyDescent="0.25">
      <c r="B9" s="1">
        <v>3685</v>
      </c>
      <c r="C9" s="1">
        <v>1</v>
      </c>
      <c r="D9" s="2">
        <v>1.3102</v>
      </c>
      <c r="E9" s="2">
        <v>0</v>
      </c>
      <c r="F9" s="1">
        <v>0</v>
      </c>
      <c r="G9" s="1">
        <f>E9*D9+F9*$B$5</f>
        <v>0</v>
      </c>
      <c r="H9" s="3">
        <f>D9-$D$9</f>
        <v>0</v>
      </c>
      <c r="I9" s="1">
        <f>$B$9-B9</f>
        <v>0</v>
      </c>
      <c r="J9" s="1">
        <f>$D$9*(($B$4*$B$2+$B$3)/(1-$B$2))*I9</f>
        <v>0</v>
      </c>
      <c r="K9" s="3">
        <f>H9+J9</f>
        <v>0</v>
      </c>
    </row>
    <row r="10" spans="1:11" x14ac:dyDescent="0.25">
      <c r="B10" s="1">
        <v>3680</v>
      </c>
      <c r="C10" s="1">
        <v>2</v>
      </c>
      <c r="D10" s="2">
        <v>1.3104</v>
      </c>
      <c r="E10" s="2">
        <v>20.481000000000002</v>
      </c>
      <c r="F10" s="1">
        <v>0</v>
      </c>
      <c r="G10" s="1">
        <f t="shared" ref="G10:G21" si="0">E10*D10+F10*$B$5</f>
        <v>26.838302400000003</v>
      </c>
      <c r="H10" s="3">
        <f t="shared" ref="H10:H21" si="1">D10-$D$9</f>
        <v>1.9999999999997797E-4</v>
      </c>
      <c r="I10" s="1">
        <f t="shared" ref="I10:I21" si="2">$B$9-B10</f>
        <v>5</v>
      </c>
      <c r="J10" s="1">
        <f t="shared" ref="J10:J21" si="3">$D$9*(($B$4*$B$2+$B$3)/(1-$B$2))*I10</f>
        <v>5.0156524736842112E-5</v>
      </c>
      <c r="K10" s="3">
        <f t="shared" ref="K10:K21" si="4">H10+J10</f>
        <v>2.501565247368201E-4</v>
      </c>
    </row>
    <row r="11" spans="1:11" x14ac:dyDescent="0.25">
      <c r="B11" s="1">
        <v>3676</v>
      </c>
      <c r="C11" s="1">
        <v>2</v>
      </c>
      <c r="D11" s="2">
        <v>1.3104</v>
      </c>
      <c r="E11" s="2">
        <v>34.75</v>
      </c>
      <c r="F11" s="1">
        <v>0</v>
      </c>
      <c r="G11" s="1">
        <f t="shared" si="0"/>
        <v>45.5364</v>
      </c>
      <c r="H11" s="3">
        <f t="shared" si="1"/>
        <v>1.9999999999997797E-4</v>
      </c>
      <c r="I11" s="1">
        <f t="shared" si="2"/>
        <v>9</v>
      </c>
      <c r="J11" s="1">
        <f t="shared" si="3"/>
        <v>9.0281744526315801E-5</v>
      </c>
      <c r="K11" s="3">
        <f t="shared" si="4"/>
        <v>2.9028174452629379E-4</v>
      </c>
    </row>
    <row r="12" spans="1:11" x14ac:dyDescent="0.25">
      <c r="B12" s="1">
        <v>3667</v>
      </c>
      <c r="C12" s="1">
        <v>3</v>
      </c>
      <c r="D12" s="2">
        <v>1.3105</v>
      </c>
      <c r="E12" s="2">
        <v>78.557000000000002</v>
      </c>
      <c r="F12" s="1">
        <v>0</v>
      </c>
      <c r="G12" s="1">
        <f t="shared" si="0"/>
        <v>102.9489485</v>
      </c>
      <c r="H12" s="3">
        <f t="shared" si="1"/>
        <v>2.9999999999996696E-4</v>
      </c>
      <c r="I12" s="1">
        <f t="shared" si="2"/>
        <v>18</v>
      </c>
      <c r="J12" s="1">
        <f t="shared" si="3"/>
        <v>1.805634890526316E-4</v>
      </c>
      <c r="K12" s="3">
        <f t="shared" si="4"/>
        <v>4.8056348905259859E-4</v>
      </c>
    </row>
    <row r="13" spans="1:11" x14ac:dyDescent="0.25">
      <c r="B13" s="1">
        <v>3664</v>
      </c>
      <c r="C13" s="1">
        <v>4</v>
      </c>
      <c r="D13" s="2">
        <v>1.3105</v>
      </c>
      <c r="E13" s="2">
        <v>101.846</v>
      </c>
      <c r="F13" s="1">
        <v>0</v>
      </c>
      <c r="G13" s="1">
        <f t="shared" si="0"/>
        <v>133.46918300000002</v>
      </c>
      <c r="H13" s="3">
        <f t="shared" si="1"/>
        <v>2.9999999999996696E-4</v>
      </c>
      <c r="I13" s="1">
        <f t="shared" si="2"/>
        <v>21</v>
      </c>
      <c r="J13" s="1">
        <f t="shared" si="3"/>
        <v>2.1065740389473688E-4</v>
      </c>
      <c r="K13" s="3">
        <f t="shared" si="4"/>
        <v>5.1065740389470379E-4</v>
      </c>
    </row>
    <row r="14" spans="1:11" x14ac:dyDescent="0.25">
      <c r="B14" s="1">
        <v>3640</v>
      </c>
      <c r="C14" s="1">
        <v>19</v>
      </c>
      <c r="D14" s="2">
        <v>1.3109</v>
      </c>
      <c r="E14" s="2">
        <v>215.68100000000001</v>
      </c>
      <c r="F14" s="1">
        <v>0</v>
      </c>
      <c r="G14" s="1">
        <f t="shared" si="0"/>
        <v>282.73622290000003</v>
      </c>
      <c r="H14" s="3">
        <f t="shared" si="1"/>
        <v>6.9999999999992291E-4</v>
      </c>
      <c r="I14" s="1">
        <f t="shared" si="2"/>
        <v>45</v>
      </c>
      <c r="J14" s="1">
        <f t="shared" si="3"/>
        <v>4.5140872263157902E-4</v>
      </c>
      <c r="K14" s="3">
        <f t="shared" si="4"/>
        <v>1.151408722631502E-3</v>
      </c>
    </row>
    <row r="15" spans="1:11" x14ac:dyDescent="0.25">
      <c r="B15" s="1">
        <v>3605</v>
      </c>
      <c r="C15" s="1">
        <v>25</v>
      </c>
      <c r="D15" s="2">
        <v>1.3116000000000001</v>
      </c>
      <c r="E15" s="2">
        <v>364.613</v>
      </c>
      <c r="F15" s="1">
        <v>0</v>
      </c>
      <c r="G15" s="1">
        <f t="shared" si="0"/>
        <v>478.22641080000005</v>
      </c>
      <c r="H15" s="3">
        <f t="shared" si="1"/>
        <v>1.4000000000000679E-3</v>
      </c>
      <c r="I15" s="1">
        <f t="shared" si="2"/>
        <v>80</v>
      </c>
      <c r="J15" s="1">
        <f t="shared" si="3"/>
        <v>8.0250439578947379E-4</v>
      </c>
      <c r="K15" s="3">
        <f t="shared" si="4"/>
        <v>2.2025043957895419E-3</v>
      </c>
    </row>
    <row r="16" spans="1:11" x14ac:dyDescent="0.25">
      <c r="B16" s="1">
        <v>3567</v>
      </c>
      <c r="C16" s="1">
        <v>36</v>
      </c>
      <c r="D16" s="2">
        <v>1.3122</v>
      </c>
      <c r="E16" s="2">
        <v>542.98500000000001</v>
      </c>
      <c r="F16" s="2">
        <v>0.159</v>
      </c>
      <c r="G16" s="1">
        <f t="shared" si="0"/>
        <v>712.66391700000008</v>
      </c>
      <c r="H16" s="3">
        <f t="shared" si="1"/>
        <v>2.0000000000000018E-3</v>
      </c>
      <c r="I16" s="1">
        <f t="shared" si="2"/>
        <v>118</v>
      </c>
      <c r="J16" s="1">
        <f t="shared" si="3"/>
        <v>1.1836939837894739E-3</v>
      </c>
      <c r="K16" s="3">
        <f t="shared" si="4"/>
        <v>3.1836939837894757E-3</v>
      </c>
    </row>
    <row r="17" spans="2:12" x14ac:dyDescent="0.25">
      <c r="B17" s="1">
        <v>3515</v>
      </c>
      <c r="C17" s="1">
        <v>48</v>
      </c>
      <c r="D17" s="2">
        <v>1.3128</v>
      </c>
      <c r="E17" s="2">
        <v>841.59100000000001</v>
      </c>
      <c r="F17" s="2">
        <v>0.80500000000000005</v>
      </c>
      <c r="G17" s="1">
        <f t="shared" si="0"/>
        <v>1105.6456648000001</v>
      </c>
      <c r="H17" s="3">
        <f t="shared" si="1"/>
        <v>2.5999999999999357E-3</v>
      </c>
      <c r="I17" s="1">
        <f t="shared" si="2"/>
        <v>170</v>
      </c>
      <c r="J17" s="1">
        <f t="shared" si="3"/>
        <v>1.7053218410526317E-3</v>
      </c>
      <c r="K17" s="3">
        <f t="shared" si="4"/>
        <v>4.305321841052567E-3</v>
      </c>
    </row>
    <row r="18" spans="2:12" x14ac:dyDescent="0.25">
      <c r="B18" s="1">
        <v>3448</v>
      </c>
      <c r="C18" s="1">
        <v>59</v>
      </c>
      <c r="D18" s="2">
        <v>1.3129999999999999</v>
      </c>
      <c r="E18" s="2">
        <v>1273.53</v>
      </c>
      <c r="F18" s="2">
        <v>2.5790000000000002</v>
      </c>
      <c r="G18" s="1">
        <f t="shared" si="0"/>
        <v>1674.7238899999998</v>
      </c>
      <c r="H18" s="3">
        <f t="shared" si="1"/>
        <v>2.7999999999999137E-3</v>
      </c>
      <c r="I18" s="1">
        <f t="shared" si="2"/>
        <v>237</v>
      </c>
      <c r="J18" s="1">
        <f t="shared" si="3"/>
        <v>2.3774192725263162E-3</v>
      </c>
      <c r="K18" s="3">
        <f t="shared" si="4"/>
        <v>5.1774192725262298E-3</v>
      </c>
    </row>
    <row r="19" spans="2:12" x14ac:dyDescent="0.25">
      <c r="B19" s="1">
        <v>3360</v>
      </c>
      <c r="C19" s="1">
        <v>59</v>
      </c>
      <c r="D19" s="2">
        <v>1.3149999999999999</v>
      </c>
      <c r="E19" s="2">
        <v>1691.8869999999999</v>
      </c>
      <c r="F19" s="2">
        <v>5.008</v>
      </c>
      <c r="G19" s="1">
        <f t="shared" si="0"/>
        <v>2229.8394049999997</v>
      </c>
      <c r="H19" s="3">
        <f t="shared" si="1"/>
        <v>4.7999999999999154E-3</v>
      </c>
      <c r="I19" s="1">
        <f t="shared" si="2"/>
        <v>325</v>
      </c>
      <c r="J19" s="1">
        <f t="shared" si="3"/>
        <v>3.2601741078947372E-3</v>
      </c>
      <c r="K19" s="3">
        <f t="shared" si="4"/>
        <v>8.0601741078946531E-3</v>
      </c>
    </row>
    <row r="20" spans="2:12" x14ac:dyDescent="0.25">
      <c r="B20" s="1">
        <v>3275</v>
      </c>
      <c r="C20" s="1">
        <v>61</v>
      </c>
      <c r="D20" s="2">
        <v>1.3160000000000001</v>
      </c>
      <c r="E20" s="2">
        <v>2127.0770000000002</v>
      </c>
      <c r="F20" s="2">
        <v>6.5</v>
      </c>
      <c r="G20" s="1">
        <f t="shared" si="0"/>
        <v>2805.7333320000002</v>
      </c>
      <c r="H20" s="3">
        <f t="shared" si="1"/>
        <v>5.8000000000000274E-3</v>
      </c>
      <c r="I20" s="1">
        <f t="shared" si="2"/>
        <v>410</v>
      </c>
      <c r="J20" s="1">
        <f t="shared" si="3"/>
        <v>4.1128350284210533E-3</v>
      </c>
      <c r="K20" s="3">
        <f t="shared" si="4"/>
        <v>9.9128350284210798E-3</v>
      </c>
    </row>
    <row r="21" spans="2:12" x14ac:dyDescent="0.25">
      <c r="B21" s="1">
        <v>3188</v>
      </c>
      <c r="C21" s="1">
        <v>61</v>
      </c>
      <c r="D21" s="2">
        <v>1.3169999999999999</v>
      </c>
      <c r="E21" s="2">
        <v>2575.33</v>
      </c>
      <c r="F21" s="2">
        <v>8</v>
      </c>
      <c r="G21" s="1">
        <f t="shared" si="0"/>
        <v>3399.7096099999999</v>
      </c>
      <c r="H21" s="3">
        <f t="shared" si="1"/>
        <v>6.7999999999999172E-3</v>
      </c>
      <c r="I21" s="1">
        <f t="shared" si="2"/>
        <v>497</v>
      </c>
      <c r="J21" s="1">
        <f t="shared" si="3"/>
        <v>4.9855585588421056E-3</v>
      </c>
      <c r="K21" s="3">
        <f t="shared" si="4"/>
        <v>1.1785558558842023E-2</v>
      </c>
    </row>
    <row r="24" spans="2:12" x14ac:dyDescent="0.25">
      <c r="J24" s="6" t="s">
        <v>14</v>
      </c>
      <c r="K24" s="1">
        <v>282829</v>
      </c>
      <c r="L24" s="1" t="s">
        <v>16</v>
      </c>
    </row>
    <row r="25" spans="2:12" x14ac:dyDescent="0.25">
      <c r="J25" s="6"/>
      <c r="K25" s="1">
        <f>K24/1000</f>
        <v>282.82900000000001</v>
      </c>
      <c r="L25" s="1" t="s">
        <v>15</v>
      </c>
    </row>
  </sheetData>
  <mergeCells count="1">
    <mergeCell ref="J24:J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Rigoberto Chandomi Vazquez</dc:creator>
  <cp:lastModifiedBy>Rigoberto Chandomi Vazquez</cp:lastModifiedBy>
  <dcterms:created xsi:type="dcterms:W3CDTF">2015-06-05T18:19:34Z</dcterms:created>
  <dcterms:modified xsi:type="dcterms:W3CDTF">2026-08-16T05:41:16Z</dcterms:modified>
</cp:coreProperties>
</file>
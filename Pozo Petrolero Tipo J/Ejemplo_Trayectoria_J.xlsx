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36766196e7c065f/DOCUMENTOS/Documentos/Publicaciones_RIGOPETRODATA/Videos youtube/VIDEOS_PETROLERA/Excel/Pozo tipo J/"/>
    </mc:Choice>
  </mc:AlternateContent>
  <xr:revisionPtr revIDLastSave="199" documentId="11_AD4D2F04E46CFB4ACB3E208FE596EDDC683EDF22" xr6:coauthVersionLast="47" xr6:coauthVersionMax="47" xr10:uidLastSave="{061A2614-05F2-4DAF-82CF-7E36CCC8BBA5}"/>
  <bookViews>
    <workbookView xWindow="-12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9" i="1"/>
  <c r="H4" i="1"/>
  <c r="G6" i="1"/>
  <c r="G4" i="1"/>
  <c r="B13" i="1" l="1"/>
  <c r="B14" i="1" s="1"/>
  <c r="B17" i="1" s="1"/>
  <c r="G5" i="1" s="1"/>
  <c r="B19" i="1" l="1"/>
  <c r="B18" i="1"/>
  <c r="I5" i="1"/>
  <c r="I6" i="1"/>
  <c r="H5" i="1"/>
  <c r="B22" i="1"/>
  <c r="H6" i="1" s="1"/>
</calcChain>
</file>

<file path=xl/sharedStrings.xml><?xml version="1.0" encoding="utf-8"?>
<sst xmlns="http://schemas.openxmlformats.org/spreadsheetml/2006/main" count="38" uniqueCount="29">
  <si>
    <t>x</t>
  </si>
  <si>
    <t>y</t>
  </si>
  <si>
    <t>Datos</t>
  </si>
  <si>
    <t>Tasa de crecimiento del ángulo</t>
  </si>
  <si>
    <t>ft</t>
  </si>
  <si>
    <t>grados (°)</t>
  </si>
  <si>
    <t>Valor</t>
  </si>
  <si>
    <t>Unidad</t>
  </si>
  <si>
    <t>Desplazamiento horizontal (Ht)</t>
  </si>
  <si>
    <t>TVD (objetivo, Vt)</t>
  </si>
  <si>
    <t>KOP (Vb)</t>
  </si>
  <si>
    <t>R</t>
  </si>
  <si>
    <t>α</t>
  </si>
  <si>
    <t>°</t>
  </si>
  <si>
    <t>Punto C</t>
  </si>
  <si>
    <t>Vc</t>
  </si>
  <si>
    <t>Hc</t>
  </si>
  <si>
    <t>MDc</t>
  </si>
  <si>
    <r>
      <t>Angulo (</t>
    </r>
    <r>
      <rPr>
        <b/>
        <sz val="11"/>
        <color theme="1"/>
        <rFont val="Calibri"/>
        <family val="2"/>
      </rPr>
      <t>α)</t>
    </r>
  </si>
  <si>
    <t>MDt</t>
  </si>
  <si>
    <t>Profundidad total medida</t>
  </si>
  <si>
    <t>Sección</t>
  </si>
  <si>
    <t>TVD</t>
  </si>
  <si>
    <t>MD</t>
  </si>
  <si>
    <t>Inclinación</t>
  </si>
  <si>
    <t>Punto inicial</t>
  </si>
  <si>
    <t>Punto de inicio de desviación</t>
  </si>
  <si>
    <t>Punto final de desviación</t>
  </si>
  <si>
    <t>Porfundidad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</si>
</sst>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Hoja1!$K$2:$K$5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 formatCode="0.000">
                  <c:v>659.98308460511146</c:v>
                </c:pt>
                <c:pt idx="3">
                  <c:v>4792.3500000000004</c:v>
                </c:pt>
              </c:numCache>
            </c:numRef>
          </c:xVal>
          <c:yVal>
            <c:numRef>
              <c:f>Hoja1!$L$2:$L$5</c:f>
              <c:numCache>
                <c:formatCode>General</c:formatCode>
                <c:ptCount val="4"/>
                <c:pt idx="0">
                  <c:v>0</c:v>
                </c:pt>
                <c:pt idx="1">
                  <c:v>1650</c:v>
                </c:pt>
                <c:pt idx="2">
                  <c:v>3796.2343071268447</c:v>
                </c:pt>
                <c:pt idx="3">
                  <c:v>9880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4-4A42-8CD4-76757E29C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53472"/>
        <c:axId val="145752512"/>
      </c:scatterChart>
      <c:valAx>
        <c:axId val="14575347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5752512"/>
        <c:crosses val="autoZero"/>
        <c:crossBetween val="midCat"/>
      </c:valAx>
      <c:valAx>
        <c:axId val="14575251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575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38</xdr:row>
      <xdr:rowOff>0</xdr:rowOff>
    </xdr:from>
    <xdr:to>
      <xdr:col>7</xdr:col>
      <xdr:colOff>137424</xdr:colOff>
      <xdr:row>42</xdr:row>
      <xdr:rowOff>38167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1530CA-8D61-4B6A-B4A5-377DF0E6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7239000"/>
          <a:ext cx="2956824" cy="800167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129540</xdr:colOff>
      <xdr:row>42</xdr:row>
      <xdr:rowOff>60960</xdr:rowOff>
    </xdr:from>
    <xdr:to>
      <xdr:col>6</xdr:col>
      <xdr:colOff>663172</xdr:colOff>
      <xdr:row>48</xdr:row>
      <xdr:rowOff>45814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4ADC476-6B82-487B-BA52-E7FF6E3E3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3265" y="8061960"/>
          <a:ext cx="2591032" cy="112785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7</xdr:col>
      <xdr:colOff>30735</xdr:colOff>
      <xdr:row>60</xdr:row>
      <xdr:rowOff>122089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8835990-751A-4EAD-95F5-948565D6F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3725" y="9525000"/>
          <a:ext cx="2850135" cy="2027089"/>
        </a:xfrm>
        <a:prstGeom prst="rect">
          <a:avLst/>
        </a:prstGeom>
      </xdr:spPr>
    </xdr:pic>
    <xdr:clientData/>
  </xdr:twoCellAnchor>
  <xdr:twoCellAnchor editAs="oneCell">
    <xdr:from>
      <xdr:col>4</xdr:col>
      <xdr:colOff>661034</xdr:colOff>
      <xdr:row>6</xdr:row>
      <xdr:rowOff>152399</xdr:rowOff>
    </xdr:from>
    <xdr:to>
      <xdr:col>8</xdr:col>
      <xdr:colOff>607649</xdr:colOff>
      <xdr:row>29</xdr:row>
      <xdr:rowOff>74294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0C11383-CE40-35B7-C561-9C3DFE333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8654" y="1615439"/>
          <a:ext cx="4259535" cy="4128135"/>
        </a:xfrm>
        <a:prstGeom prst="rect">
          <a:avLst/>
        </a:prstGeom>
      </xdr:spPr>
    </xdr:pic>
    <xdr:clientData/>
  </xdr:twoCellAnchor>
  <xdr:twoCellAnchor>
    <xdr:from>
      <xdr:col>9</xdr:col>
      <xdr:colOff>428625</xdr:colOff>
      <xdr:row>5</xdr:row>
      <xdr:rowOff>95250</xdr:rowOff>
    </xdr:from>
    <xdr:to>
      <xdr:col>15</xdr:col>
      <xdr:colOff>428625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67C135-D2E4-EAC1-1038-EEB4EB339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B19" sqref="B19"/>
    </sheetView>
  </sheetViews>
  <sheetFormatPr baseColWidth="10" defaultColWidth="11.42578125" defaultRowHeight="15" x14ac:dyDescent="0.25"/>
  <cols>
    <col min="1" max="1" width="19.140625" customWidth="1"/>
    <col min="2" max="2" width="13.7109375" customWidth="1"/>
    <col min="6" max="6" width="28.5703125" customWidth="1"/>
  </cols>
  <sheetData>
    <row r="1" spans="1:12" x14ac:dyDescent="0.25">
      <c r="A1" s="2" t="s">
        <v>2</v>
      </c>
      <c r="B1" s="2" t="s">
        <v>6</v>
      </c>
      <c r="C1" s="2" t="s">
        <v>7</v>
      </c>
    </row>
    <row r="2" spans="1:12" x14ac:dyDescent="0.25">
      <c r="A2" s="4" t="s">
        <v>10</v>
      </c>
      <c r="B2" s="5">
        <v>1650</v>
      </c>
      <c r="C2" s="4" t="s">
        <v>4</v>
      </c>
      <c r="F2" s="7" t="s">
        <v>21</v>
      </c>
      <c r="G2" s="7" t="s">
        <v>22</v>
      </c>
      <c r="H2" s="7" t="s">
        <v>23</v>
      </c>
      <c r="I2" s="7" t="s">
        <v>24</v>
      </c>
      <c r="K2">
        <v>0</v>
      </c>
      <c r="L2">
        <v>0</v>
      </c>
    </row>
    <row r="3" spans="1:12" x14ac:dyDescent="0.25">
      <c r="A3" s="4" t="s">
        <v>9</v>
      </c>
      <c r="B3" s="5">
        <v>9880</v>
      </c>
      <c r="C3" s="4" t="s">
        <v>4</v>
      </c>
      <c r="F3" s="9" t="s">
        <v>25</v>
      </c>
      <c r="G3" s="1">
        <v>0</v>
      </c>
      <c r="H3" s="1">
        <v>0</v>
      </c>
      <c r="I3" s="1">
        <v>0</v>
      </c>
      <c r="K3">
        <v>0</v>
      </c>
      <c r="L3" s="5">
        <v>1650</v>
      </c>
    </row>
    <row r="4" spans="1:12" ht="30" x14ac:dyDescent="0.25">
      <c r="A4" s="3" t="s">
        <v>8</v>
      </c>
      <c r="B4" s="5">
        <v>4792.3500000000004</v>
      </c>
      <c r="C4" s="4" t="s">
        <v>4</v>
      </c>
      <c r="F4" s="9" t="s">
        <v>26</v>
      </c>
      <c r="G4" s="1">
        <f>B2</f>
        <v>1650</v>
      </c>
      <c r="H4" s="1">
        <f>B2</f>
        <v>1650</v>
      </c>
      <c r="I4" s="1">
        <v>0</v>
      </c>
      <c r="K4" s="6">
        <v>659.98308460511146</v>
      </c>
      <c r="L4">
        <v>3796.2343071268447</v>
      </c>
    </row>
    <row r="5" spans="1:12" ht="30" x14ac:dyDescent="0.25">
      <c r="A5" s="3" t="s">
        <v>3</v>
      </c>
      <c r="B5" s="5">
        <v>1.5</v>
      </c>
      <c r="C5" s="4" t="s">
        <v>5</v>
      </c>
      <c r="F5" s="9" t="s">
        <v>27</v>
      </c>
      <c r="G5" s="6">
        <f>B17</f>
        <v>3796.2343071268447</v>
      </c>
      <c r="H5" s="6">
        <f>B19</f>
        <v>3929.0738724183248</v>
      </c>
      <c r="I5" s="6">
        <f>B14</f>
        <v>34.186108086274871</v>
      </c>
      <c r="K5">
        <v>4792.3500000000004</v>
      </c>
      <c r="L5">
        <v>9880</v>
      </c>
    </row>
    <row r="6" spans="1:12" x14ac:dyDescent="0.25">
      <c r="F6" s="9" t="s">
        <v>28</v>
      </c>
      <c r="G6" s="1">
        <f>B3</f>
        <v>9880</v>
      </c>
      <c r="H6" s="6">
        <f>B22</f>
        <v>11283.573265934559</v>
      </c>
      <c r="I6" s="6">
        <f>B14</f>
        <v>34.186108086274871</v>
      </c>
    </row>
    <row r="9" spans="1:12" x14ac:dyDescent="0.25">
      <c r="A9" s="8" t="s">
        <v>11</v>
      </c>
      <c r="B9" s="6">
        <f>36000/(2*PI()*B5)</f>
        <v>3819.7186342054883</v>
      </c>
      <c r="C9" s="1" t="s">
        <v>4</v>
      </c>
    </row>
    <row r="11" spans="1:12" x14ac:dyDescent="0.25">
      <c r="A11" s="10" t="s">
        <v>18</v>
      </c>
      <c r="B11" s="10"/>
      <c r="C11" s="10"/>
    </row>
    <row r="12" spans="1:12" x14ac:dyDescent="0.25">
      <c r="A12" s="8" t="s">
        <v>0</v>
      </c>
      <c r="B12" s="6">
        <f>DEGREES(ATAN((B4-B9)/(B3-B2)))</f>
        <v>6.7400217831414739</v>
      </c>
      <c r="C12" s="1" t="s">
        <v>13</v>
      </c>
    </row>
    <row r="13" spans="1:12" x14ac:dyDescent="0.25">
      <c r="A13" s="8" t="s">
        <v>1</v>
      </c>
      <c r="B13" s="6">
        <f>DEGREES(ASIN((B9*COS(RADIANS(B12)))/(B3-B2)))</f>
        <v>27.446086303133399</v>
      </c>
      <c r="C13" s="1" t="s">
        <v>13</v>
      </c>
    </row>
    <row r="14" spans="1:12" x14ac:dyDescent="0.25">
      <c r="A14" s="8" t="s">
        <v>12</v>
      </c>
      <c r="B14" s="6">
        <f>B12+B13</f>
        <v>34.186108086274871</v>
      </c>
      <c r="C14" s="1" t="s">
        <v>13</v>
      </c>
    </row>
    <row r="16" spans="1:12" x14ac:dyDescent="0.25">
      <c r="A16" s="10" t="s">
        <v>14</v>
      </c>
      <c r="B16" s="10"/>
      <c r="C16" s="10"/>
    </row>
    <row r="17" spans="1:3" x14ac:dyDescent="0.25">
      <c r="A17" s="8" t="s">
        <v>15</v>
      </c>
      <c r="B17" s="6">
        <f>B2+B9*SIN(RADIANS(B14))</f>
        <v>3796.2343071268447</v>
      </c>
      <c r="C17" s="1" t="s">
        <v>4</v>
      </c>
    </row>
    <row r="18" spans="1:3" x14ac:dyDescent="0.25">
      <c r="A18" s="8" t="s">
        <v>16</v>
      </c>
      <c r="B18" s="6">
        <f>B9*(1-COS(RADIANS(B14)))</f>
        <v>659.98308460511146</v>
      </c>
      <c r="C18" s="1" t="s">
        <v>4</v>
      </c>
    </row>
    <row r="19" spans="1:3" x14ac:dyDescent="0.25">
      <c r="A19" s="8" t="s">
        <v>17</v>
      </c>
      <c r="B19" s="6">
        <f>B2+(100*B14)/B5</f>
        <v>3929.0738724183248</v>
      </c>
      <c r="C19" s="1" t="s">
        <v>4</v>
      </c>
    </row>
    <row r="21" spans="1:3" x14ac:dyDescent="0.25">
      <c r="A21" s="10" t="s">
        <v>20</v>
      </c>
      <c r="B21" s="10"/>
      <c r="C21" s="10"/>
    </row>
    <row r="22" spans="1:3" x14ac:dyDescent="0.25">
      <c r="A22" s="8" t="s">
        <v>19</v>
      </c>
      <c r="B22" s="6">
        <f>B19+(B3-B17)/(COS(RADIANS(B14)))</f>
        <v>11283.573265934559</v>
      </c>
      <c r="C22" s="1" t="s">
        <v>4</v>
      </c>
    </row>
  </sheetData>
  <mergeCells count="3">
    <mergeCell ref="A11:C11"/>
    <mergeCell ref="A16:C16"/>
    <mergeCell ref="A21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Rigoberto Chandomi Vazquez</dc:creator>
  <cp:lastModifiedBy>Rigoberto Chandomi Vazquez</cp:lastModifiedBy>
  <dcterms:created xsi:type="dcterms:W3CDTF">2015-06-05T18:19:34Z</dcterms:created>
  <dcterms:modified xsi:type="dcterms:W3CDTF">2025-09-02T11:47:09Z</dcterms:modified>
</cp:coreProperties>
</file>